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im2/Research/MOOSE/FALCON_project/moose/modules/combined/project/flow_through_test/"/>
    </mc:Choice>
  </mc:AlternateContent>
  <xr:revisionPtr revIDLastSave="0" documentId="13_ncr:40009_{893D6E42-C9E5-9C4F-A777-F9DA25DB9E35}" xr6:coauthVersionLast="47" xr6:coauthVersionMax="47" xr10:uidLastSave="{00000000-0000-0000-0000-000000000000}"/>
  <bookViews>
    <workbookView xWindow="0" yWindow="1220" windowWidth="34560" windowHeight="17440"/>
  </bookViews>
  <sheets>
    <sheet name="porous_flow_outlet" sheetId="1" r:id="rId1"/>
    <sheet name="Sheet1" sheetId="2" r:id="rId2"/>
  </sheets>
  <definedNames>
    <definedName name="_xlchart.v1.0" hidden="1">porous_flow_outlet!$B$2:$B$15</definedName>
    <definedName name="_xlchart.v1.1" hidden="1">porous_flow_outlet!$B$5:$B$15</definedName>
    <definedName name="_xlchart.v1.10" hidden="1">porous_flow_outlet!$D$1</definedName>
    <definedName name="_xlchart.v1.11" hidden="1">porous_flow_outlet!$E$2:$E$15</definedName>
    <definedName name="_xlchart.v1.12" hidden="1">porous_flow_outlet!$G$1</definedName>
    <definedName name="_xlchart.v1.13" hidden="1">porous_flow_outlet!$G$5:$G$15</definedName>
    <definedName name="_xlchart.v1.14" hidden="1">porous_flow_outlet!$I$1</definedName>
    <definedName name="_xlchart.v1.15" hidden="1">porous_flow_outlet!$I$5:$I$15</definedName>
    <definedName name="_xlchart.v1.2" hidden="1">porous_flow_outlet!$D$1</definedName>
    <definedName name="_xlchart.v1.3" hidden="1">porous_flow_outlet!$E$2:$E$15</definedName>
    <definedName name="_xlchart.v1.4" hidden="1">porous_flow_outlet!$G$1</definedName>
    <definedName name="_xlchart.v1.5" hidden="1">porous_flow_outlet!$G$5:$G$15</definedName>
    <definedName name="_xlchart.v1.6" hidden="1">porous_flow_outlet!$I$1</definedName>
    <definedName name="_xlchart.v1.7" hidden="1">porous_flow_outlet!$I$5:$I$15</definedName>
    <definedName name="_xlchart.v1.8" hidden="1">porous_flow_outlet!$B$2:$B$15</definedName>
    <definedName name="_xlchart.v1.9" hidden="1">porous_flow_outlet!$B$5:$B$15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" l="1"/>
  <c r="C3" i="2"/>
  <c r="B3" i="2"/>
  <c r="B3" i="1"/>
  <c r="E3" i="1"/>
  <c r="G3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2" i="1"/>
  <c r="G4" i="1"/>
  <c r="G5" i="1"/>
  <c r="G6" i="1"/>
  <c r="G7" i="1"/>
  <c r="G8" i="1"/>
  <c r="G9" i="1"/>
  <c r="G10" i="1"/>
  <c r="G11" i="1"/>
  <c r="G12" i="1"/>
  <c r="G13" i="1"/>
  <c r="G14" i="1"/>
  <c r="G15" i="1"/>
  <c r="G2" i="1"/>
  <c r="E4" i="1"/>
  <c r="E5" i="1"/>
  <c r="E6" i="1"/>
  <c r="E7" i="1"/>
  <c r="E8" i="1"/>
  <c r="E9" i="1"/>
  <c r="E10" i="1"/>
  <c r="E11" i="1"/>
  <c r="E12" i="1"/>
  <c r="E13" i="1"/>
  <c r="E14" i="1"/>
  <c r="E15" i="1"/>
  <c r="E2" i="1"/>
  <c r="B4" i="1"/>
  <c r="B5" i="1"/>
  <c r="B6" i="1"/>
  <c r="B7" i="1"/>
  <c r="B8" i="1"/>
  <c r="B9" i="1"/>
  <c r="B10" i="1"/>
  <c r="B11" i="1"/>
  <c r="B12" i="1"/>
  <c r="B13" i="1"/>
  <c r="B14" i="1"/>
  <c r="B15" i="1"/>
  <c r="B2" i="1"/>
</calcChain>
</file>

<file path=xl/sharedStrings.xml><?xml version="1.0" encoding="utf-8"?>
<sst xmlns="http://schemas.openxmlformats.org/spreadsheetml/2006/main" count="33" uniqueCount="30">
  <si>
    <t>time</t>
  </si>
  <si>
    <t>darcy_velocity</t>
  </si>
  <si>
    <t>delta_Ca</t>
  </si>
  <si>
    <t>delta_HCO3</t>
  </si>
  <si>
    <t>delta_Na</t>
  </si>
  <si>
    <t>dt</t>
  </si>
  <si>
    <t>mass_extracted</t>
  </si>
  <si>
    <t>mass_extracted_Al</t>
  </si>
  <si>
    <t>mass_extracted_Ca</t>
  </si>
  <si>
    <t>mass_extracted_Cl</t>
  </si>
  <si>
    <t>mass_extracted_F</t>
  </si>
  <si>
    <t>mass_extracted_Fe</t>
  </si>
  <si>
    <t>mass_extracted_H</t>
  </si>
  <si>
    <t>mass_extracted_HCO3</t>
  </si>
  <si>
    <t>mass_extracted_K</t>
  </si>
  <si>
    <t>mass_extracted_Mg</t>
  </si>
  <si>
    <t>mass_extracted_NO3</t>
  </si>
  <si>
    <t>mass_extracted_Na</t>
  </si>
  <si>
    <t>mass_extracted_O2</t>
  </si>
  <si>
    <t>mass_extracted_SO4</t>
  </si>
  <si>
    <t>mass_extracted_SiO2</t>
  </si>
  <si>
    <t>volumetric_flow_rate</t>
  </si>
  <si>
    <t>day</t>
  </si>
  <si>
    <t>brine density</t>
  </si>
  <si>
    <t>kg/m^3</t>
  </si>
  <si>
    <t>CO2</t>
  </si>
  <si>
    <t>mol/m^3</t>
  </si>
  <si>
    <t>Pa</t>
  </si>
  <si>
    <t>inlet</t>
  </si>
  <si>
    <t>outlet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</si>
</sst>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porous_flow_outlet!$G$1</c:f>
              <c:strCache>
                <c:ptCount val="1"/>
                <c:pt idx="0">
                  <c:v>delta_HCO3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porous_flow_outlet!$B$2:$B$15</c:f>
              <c:numCache>
                <c:formatCode>General</c:formatCode>
                <c:ptCount val="14"/>
                <c:pt idx="0">
                  <c:v>0</c:v>
                </c:pt>
                <c:pt idx="1">
                  <c:v>5.7870370370370363</c:v>
                </c:pt>
                <c:pt idx="2">
                  <c:v>17.361111111111111</c:v>
                </c:pt>
                <c:pt idx="3">
                  <c:v>28.935185185185187</c:v>
                </c:pt>
                <c:pt idx="4">
                  <c:v>40.50925925925926</c:v>
                </c:pt>
                <c:pt idx="5">
                  <c:v>52.662037037037038</c:v>
                </c:pt>
                <c:pt idx="6">
                  <c:v>68.460648148148152</c:v>
                </c:pt>
                <c:pt idx="7">
                  <c:v>88.998842592592581</c:v>
                </c:pt>
                <c:pt idx="8">
                  <c:v>115.69849537037037</c:v>
                </c:pt>
                <c:pt idx="9">
                  <c:v>150.40804398148148</c:v>
                </c:pt>
                <c:pt idx="10">
                  <c:v>195.53045717592593</c:v>
                </c:pt>
                <c:pt idx="11">
                  <c:v>254.18959432870369</c:v>
                </c:pt>
                <c:pt idx="12">
                  <c:v>330.44647262731485</c:v>
                </c:pt>
                <c:pt idx="13">
                  <c:v>365</c:v>
                </c:pt>
              </c:numCache>
            </c:numRef>
          </c:xVal>
          <c:yVal>
            <c:numRef>
              <c:f>porous_flow_outlet!$E$2:$E$15</c:f>
              <c:numCache>
                <c:formatCode>General</c:formatCode>
                <c:ptCount val="14"/>
                <c:pt idx="0">
                  <c:v>0</c:v>
                </c:pt>
                <c:pt idx="1">
                  <c:v>1.9246317129866787E-7</c:v>
                </c:pt>
                <c:pt idx="2">
                  <c:v>3.2066268263383112E-10</c:v>
                </c:pt>
                <c:pt idx="3">
                  <c:v>1.8656247149634132E-13</c:v>
                </c:pt>
                <c:pt idx="4">
                  <c:v>-8.6000674415116344E-17</c:v>
                </c:pt>
                <c:pt idx="5">
                  <c:v>-2.3174946345385256E-16</c:v>
                </c:pt>
                <c:pt idx="6">
                  <c:v>-2.5963943063432194E-16</c:v>
                </c:pt>
                <c:pt idx="7">
                  <c:v>-5.2268045652313003E-16</c:v>
                </c:pt>
                <c:pt idx="8">
                  <c:v>-6.1928332206081912E-16</c:v>
                </c:pt>
                <c:pt idx="9">
                  <c:v>-1.784627290263336E-15</c:v>
                </c:pt>
                <c:pt idx="10">
                  <c:v>-3.271911720459063E-15</c:v>
                </c:pt>
                <c:pt idx="11">
                  <c:v>-6.3951744789702037E-15</c:v>
                </c:pt>
                <c:pt idx="12">
                  <c:v>-1.3482817630747205E-14</c:v>
                </c:pt>
                <c:pt idx="13">
                  <c:v>-8.4446565413649732E-15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DE8-9D42-8959-9A09AFACD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339312"/>
        <c:axId val="864979216"/>
      </c:scatterChart>
      <c:valAx>
        <c:axId val="864339312"/>
        <c:scaling>
          <c:orientation val="minMax"/>
          <c:max val="5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days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979216"/>
        <c:crosses val="autoZero"/>
        <c:crossBetween val="midCat"/>
      </c:valAx>
      <c:valAx>
        <c:axId val="864979216"/>
        <c:scaling>
          <c:orientation val="minMax"/>
          <c:max val="1.9999999999999999E-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Mass flux change at outlet(kg/m^3)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339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736600</xdr:colOff>
      <xdr:row>16</xdr:row>
      <xdr:rowOff>190500</xdr:rowOff>
    </xdr:from>
    <xdr:to>
      <xdr:col>14</xdr:col>
      <xdr:colOff>127000</xdr:colOff>
      <xdr:row>37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EC2D27-4DDE-5D12-4B94-908DE550EF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5"/>
  <sheetViews>
    <sheetView tabSelected="1" workbookViewId="0">
      <selection activeCell="P25" sqref="P25"/>
    </sheetView>
  </sheetViews>
  <sheetFormatPr baseColWidth="10" defaultRowHeight="16" x14ac:dyDescent="0.2"/>
  <cols>
    <col min="3" max="3" width="9.1640625" customWidth="1"/>
    <col min="4" max="5" width="11.1640625" customWidth="1"/>
    <col min="12" max="13" width="18.1640625" customWidth="1"/>
    <col min="14" max="14" width="19.83203125" customWidth="1"/>
    <col min="15" max="15" width="17.5" customWidth="1"/>
  </cols>
  <sheetData>
    <row r="1" spans="1:26" x14ac:dyDescent="0.2">
      <c r="A1" t="s">
        <v>0</v>
      </c>
      <c r="B1" t="s">
        <v>22</v>
      </c>
      <c r="C1" t="s">
        <v>1</v>
      </c>
      <c r="D1" t="s">
        <v>2</v>
      </c>
      <c r="E1" t="s">
        <v>2</v>
      </c>
      <c r="F1" t="s">
        <v>3</v>
      </c>
      <c r="G1" t="s">
        <v>3</v>
      </c>
      <c r="H1" t="s">
        <v>4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</row>
    <row r="2" spans="1:26" x14ac:dyDescent="0.2">
      <c r="A2">
        <v>0</v>
      </c>
      <c r="B2">
        <f>A2/24/3600</f>
        <v>0</v>
      </c>
      <c r="C2">
        <v>0</v>
      </c>
      <c r="D2">
        <v>0</v>
      </c>
      <c r="E2">
        <f>D2*Z2</f>
        <v>0</v>
      </c>
      <c r="F2">
        <v>0</v>
      </c>
      <c r="G2">
        <f>F2*Z2</f>
        <v>0</v>
      </c>
      <c r="H2">
        <v>0</v>
      </c>
      <c r="I2">
        <f>H2*Z2</f>
        <v>0</v>
      </c>
      <c r="J2">
        <v>0</v>
      </c>
      <c r="K2">
        <v>0.27523344629090002</v>
      </c>
      <c r="L2" s="1">
        <v>2.9390129999999998E-13</v>
      </c>
      <c r="M2">
        <v>2.4673989999999998E-4</v>
      </c>
      <c r="N2" s="1">
        <v>5.0774459999999997E-5</v>
      </c>
      <c r="O2" s="1">
        <v>2.0745339999999999E-6</v>
      </c>
      <c r="P2" s="1">
        <v>6.0835610000000002E-13</v>
      </c>
      <c r="Q2">
        <v>4.4320870000000004E-3</v>
      </c>
      <c r="R2">
        <v>0.26987204199999998</v>
      </c>
      <c r="S2" s="1">
        <v>3.3844909999999999E-5</v>
      </c>
      <c r="T2">
        <v>1.6704050000000001E-4</v>
      </c>
      <c r="U2" s="1">
        <v>4.3667360000000002E-6</v>
      </c>
      <c r="V2" s="1">
        <v>8.734154E-5</v>
      </c>
      <c r="W2" s="1">
        <v>7.255501E-5</v>
      </c>
      <c r="X2">
        <v>1.714075E-4</v>
      </c>
      <c r="Y2" s="1">
        <v>9.3172199999999995E-5</v>
      </c>
      <c r="Z2">
        <v>0</v>
      </c>
    </row>
    <row r="3" spans="1:26" x14ac:dyDescent="0.2">
      <c r="A3">
        <v>500000</v>
      </c>
      <c r="B3">
        <f t="shared" ref="B3:B15" si="0">A3/24/3600</f>
        <v>5.7870370370370363</v>
      </c>
      <c r="C3" s="1">
        <v>7.8092988337256002E-7</v>
      </c>
      <c r="D3">
        <v>9.6068388379203003E-3</v>
      </c>
      <c r="E3">
        <f t="shared" ref="E3:E15" si="1">D3*Z3</f>
        <v>1.9246317129866787E-7</v>
      </c>
      <c r="F3">
        <v>10.507490739659</v>
      </c>
      <c r="G3">
        <f t="shared" ref="G3:G15" si="2">F3*Z3</f>
        <v>2.1050680918718807E-4</v>
      </c>
      <c r="H3">
        <v>3.4006502338525999E-3</v>
      </c>
      <c r="I3">
        <f t="shared" ref="I3:I15" si="3">H3*Z3</f>
        <v>6.8128542544231421E-8</v>
      </c>
      <c r="J3">
        <v>500000</v>
      </c>
      <c r="K3">
        <v>10.991470914662001</v>
      </c>
      <c r="L3" s="1">
        <v>1.1736973228598999E-11</v>
      </c>
      <c r="M3">
        <v>9.8535787379202995E-3</v>
      </c>
      <c r="N3">
        <v>2.0276823468169999E-3</v>
      </c>
      <c r="O3" s="1">
        <v>8.2846690435931002E-5</v>
      </c>
      <c r="P3" s="1">
        <v>2.4294752214959999E-11</v>
      </c>
      <c r="Q3">
        <v>0.17699576853120999</v>
      </c>
      <c r="R3">
        <v>10.777362781659001</v>
      </c>
      <c r="S3">
        <v>1.351599338262E-3</v>
      </c>
      <c r="T3">
        <v>6.6707764701679001E-3</v>
      </c>
      <c r="U3">
        <v>1.7438597082884E-4</v>
      </c>
      <c r="V3">
        <v>3.4879917738525998E-3</v>
      </c>
      <c r="W3">
        <v>2.8974904499256002E-3</v>
      </c>
      <c r="X3">
        <v>6.8451729838590004E-3</v>
      </c>
      <c r="Y3">
        <v>3.7208396732156001E-3</v>
      </c>
      <c r="Z3" s="1">
        <v>2.0033975228039999E-5</v>
      </c>
    </row>
    <row r="4" spans="1:26" x14ac:dyDescent="0.2">
      <c r="A4">
        <v>1500000</v>
      </c>
      <c r="B4">
        <f t="shared" si="0"/>
        <v>17.361111111111111</v>
      </c>
      <c r="C4" s="1">
        <v>7.8093017492211997E-7</v>
      </c>
      <c r="D4" s="1">
        <v>1.6005937876474E-5</v>
      </c>
      <c r="E4">
        <f t="shared" si="1"/>
        <v>3.2066268263383112E-10</v>
      </c>
      <c r="F4">
        <v>1.7506517273964999E-2</v>
      </c>
      <c r="G4">
        <f t="shared" si="2"/>
        <v>3.5072526433432453E-7</v>
      </c>
      <c r="H4" s="1">
        <v>5.6658191228526002E-6</v>
      </c>
      <c r="I4">
        <f t="shared" si="3"/>
        <v>1.1350892233077985E-10</v>
      </c>
      <c r="J4">
        <v>1000000</v>
      </c>
      <c r="K4">
        <v>11.009325224597999</v>
      </c>
      <c r="L4" s="1">
        <v>1.1589889884041999E-11</v>
      </c>
      <c r="M4">
        <v>9.8695846757967005E-3</v>
      </c>
      <c r="N4">
        <v>2.0309760731826E-3</v>
      </c>
      <c r="O4" s="1">
        <v>8.2981264930019001E-5</v>
      </c>
      <c r="P4" s="1">
        <v>1.1958111555305E-11</v>
      </c>
      <c r="Q4">
        <v>0.17728327666797999</v>
      </c>
      <c r="R4">
        <v>10.794869298933</v>
      </c>
      <c r="S4">
        <v>1.3537948471161001E-3</v>
      </c>
      <c r="T4">
        <v>6.6816123330483996E-3</v>
      </c>
      <c r="U4">
        <v>1.7466923988494E-4</v>
      </c>
      <c r="V4">
        <v>3.4936575929754E-3</v>
      </c>
      <c r="W4">
        <v>2.9021970754825998E-3</v>
      </c>
      <c r="X4">
        <v>6.8562921451026E-3</v>
      </c>
      <c r="Y4">
        <v>3.7268837255170998E-3</v>
      </c>
      <c r="Z4" s="1">
        <v>2.0033982707452E-5</v>
      </c>
    </row>
    <row r="5" spans="1:26" x14ac:dyDescent="0.2">
      <c r="A5">
        <v>2500000</v>
      </c>
      <c r="B5">
        <f t="shared" si="0"/>
        <v>28.935185185185187</v>
      </c>
      <c r="C5" s="1">
        <v>7.8093017492227E-7</v>
      </c>
      <c r="D5" s="1">
        <v>9.3123007152695994E-9</v>
      </c>
      <c r="E5">
        <f t="shared" si="1"/>
        <v>1.8656247149634132E-13</v>
      </c>
      <c r="F5" s="1">
        <v>1.0189914847913E-5</v>
      </c>
      <c r="G5">
        <f t="shared" si="2"/>
        <v>2.0414457785353818E-10</v>
      </c>
      <c r="H5" s="1">
        <v>3.2969282664183998E-9</v>
      </c>
      <c r="I5">
        <f t="shared" si="3"/>
        <v>6.6050603877149112E-14</v>
      </c>
      <c r="J5">
        <v>1000000</v>
      </c>
      <c r="K5">
        <v>11.00933561694</v>
      </c>
      <c r="L5" s="1">
        <v>1.1586316033056E-11</v>
      </c>
      <c r="M5">
        <v>9.8695939880974002E-3</v>
      </c>
      <c r="N5">
        <v>2.0309779906702002E-3</v>
      </c>
      <c r="O5" s="1">
        <v>8.2981343274230002E-5</v>
      </c>
      <c r="P5" s="1">
        <v>7.0805539398609997E-12</v>
      </c>
      <c r="Q5">
        <v>0.17728344401686</v>
      </c>
      <c r="R5">
        <v>10.794879488848</v>
      </c>
      <c r="S5">
        <v>1.3537961246225E-3</v>
      </c>
      <c r="T5">
        <v>6.6816186371799003E-3</v>
      </c>
      <c r="U5">
        <v>1.7466940479353001E-4</v>
      </c>
      <c r="V5">
        <v>3.4936608899037002E-3</v>
      </c>
      <c r="W5">
        <v>2.9021998155613002E-3</v>
      </c>
      <c r="X5">
        <v>6.8562986182873998E-3</v>
      </c>
      <c r="Y5">
        <v>3.7268872435600002E-3</v>
      </c>
      <c r="Z5" s="1">
        <v>2.0033982707456001E-5</v>
      </c>
    </row>
    <row r="6" spans="1:26" x14ac:dyDescent="0.2">
      <c r="A6">
        <v>3500000</v>
      </c>
      <c r="B6">
        <f t="shared" si="0"/>
        <v>40.50925925925926</v>
      </c>
      <c r="C6" s="1">
        <v>7.8093017492229001E-7</v>
      </c>
      <c r="D6" s="1">
        <v>-4.2927397747582997E-12</v>
      </c>
      <c r="E6">
        <f t="shared" si="1"/>
        <v>-8.6000674415116344E-17</v>
      </c>
      <c r="F6" s="1">
        <v>2.8749020941632001E-9</v>
      </c>
      <c r="G6">
        <f t="shared" si="2"/>
        <v>5.7595738840094593E-14</v>
      </c>
      <c r="H6" s="1">
        <v>-7.3267563890921998E-13</v>
      </c>
      <c r="I6">
        <f t="shared" si="3"/>
        <v>-1.467841108008159E-17</v>
      </c>
      <c r="J6">
        <v>1000000</v>
      </c>
      <c r="K6">
        <v>11.009335619854999</v>
      </c>
      <c r="L6" s="1">
        <v>1.1584512941854999E-11</v>
      </c>
      <c r="M6">
        <v>9.8695939838047003E-3</v>
      </c>
      <c r="N6">
        <v>2.0309779915138001E-3</v>
      </c>
      <c r="O6" s="1">
        <v>8.2981343308551994E-5</v>
      </c>
      <c r="P6" s="1">
        <v>2.3227480411652999E-12</v>
      </c>
      <c r="Q6">
        <v>0.17728344406513999</v>
      </c>
      <c r="R6">
        <v>10.794879491723</v>
      </c>
      <c r="S6">
        <v>1.3537961242573999E-3</v>
      </c>
      <c r="T6">
        <v>6.6816186339734998E-3</v>
      </c>
      <c r="U6">
        <v>1.7466940486577E-4</v>
      </c>
      <c r="V6">
        <v>3.4936608891709998E-3</v>
      </c>
      <c r="W6">
        <v>2.9021998168148001E-3</v>
      </c>
      <c r="X6">
        <v>6.8562986211481002E-3</v>
      </c>
      <c r="Y6">
        <v>3.7268872445777E-3</v>
      </c>
      <c r="Z6" s="1">
        <v>2.0033982707456001E-5</v>
      </c>
    </row>
    <row r="7" spans="1:26" x14ac:dyDescent="0.2">
      <c r="A7">
        <v>4550000</v>
      </c>
      <c r="B7">
        <f t="shared" si="0"/>
        <v>52.662037037037038</v>
      </c>
      <c r="C7" s="1">
        <v>7.8093017492229001E-7</v>
      </c>
      <c r="D7" s="1">
        <v>-1.1567817884139E-11</v>
      </c>
      <c r="E7">
        <f t="shared" si="1"/>
        <v>-2.3174946345385256E-16</v>
      </c>
      <c r="F7" s="1">
        <v>-1.8008936564229E-9</v>
      </c>
      <c r="G7">
        <f t="shared" si="2"/>
        <v>-3.6079072370745389E-14</v>
      </c>
      <c r="H7" s="1">
        <v>-3.0356190651448E-12</v>
      </c>
      <c r="I7">
        <f t="shared" si="3"/>
        <v>-6.0815539857537708E-17</v>
      </c>
      <c r="J7">
        <v>1050000</v>
      </c>
      <c r="K7">
        <v>11.009335617998</v>
      </c>
      <c r="L7" s="1">
        <v>1.1583278637772E-11</v>
      </c>
      <c r="M7">
        <v>9.8695939722368998E-3</v>
      </c>
      <c r="N7">
        <v>2.0309779914818001E-3</v>
      </c>
      <c r="O7" s="1">
        <v>8.2981343307101995E-5</v>
      </c>
      <c r="P7" s="1">
        <v>-1.0518469859113E-12</v>
      </c>
      <c r="Q7">
        <v>0.17728344403693999</v>
      </c>
      <c r="R7">
        <v>10.794879489922</v>
      </c>
      <c r="S7">
        <v>1.3537961229697999E-3</v>
      </c>
      <c r="T7">
        <v>6.6816186256954003E-3</v>
      </c>
      <c r="U7">
        <v>1.7466940486272E-4</v>
      </c>
      <c r="V7">
        <v>3.4936608861353999E-3</v>
      </c>
      <c r="W7">
        <v>2.9021998168172001E-3</v>
      </c>
      <c r="X7">
        <v>6.8562986210530998E-3</v>
      </c>
      <c r="Y7">
        <v>3.7268872439888E-3</v>
      </c>
      <c r="Z7" s="1">
        <v>2.0033982707457001E-5</v>
      </c>
    </row>
    <row r="8" spans="1:26" x14ac:dyDescent="0.2">
      <c r="A8">
        <v>5915000</v>
      </c>
      <c r="B8">
        <f t="shared" si="0"/>
        <v>68.460648148148152</v>
      </c>
      <c r="C8" s="1">
        <v>7.8093017492229997E-7</v>
      </c>
      <c r="D8" s="1">
        <v>-1.2959950820846E-11</v>
      </c>
      <c r="E8">
        <f t="shared" si="1"/>
        <v>-2.5963943063432194E-16</v>
      </c>
      <c r="F8" s="1">
        <v>-2.3249135949754E-9</v>
      </c>
      <c r="G8">
        <f t="shared" si="2"/>
        <v>-4.6577278758068856E-14</v>
      </c>
      <c r="H8" s="1">
        <v>-4.9530453523349999E-12</v>
      </c>
      <c r="I8">
        <f t="shared" si="3"/>
        <v>-9.9229224937929654E-17</v>
      </c>
      <c r="J8">
        <v>1365000</v>
      </c>
      <c r="K8">
        <v>11.009335615598999</v>
      </c>
      <c r="L8" s="1">
        <v>1.1581935800617001E-11</v>
      </c>
      <c r="M8">
        <v>9.8695939592769004E-3</v>
      </c>
      <c r="N8">
        <v>2.0309779914404E-3</v>
      </c>
      <c r="O8" s="1">
        <v>8.2981343305223005E-5</v>
      </c>
      <c r="P8" s="1">
        <v>-4.8480675773310004E-12</v>
      </c>
      <c r="Q8">
        <v>0.17728344400071999</v>
      </c>
      <c r="R8">
        <v>10.794879487596999</v>
      </c>
      <c r="S8">
        <v>1.3537961208680001E-3</v>
      </c>
      <c r="T8">
        <v>6.6816186121645997E-3</v>
      </c>
      <c r="U8">
        <v>1.7466940485877001E-4</v>
      </c>
      <c r="V8">
        <v>3.4936608811824E-3</v>
      </c>
      <c r="W8">
        <v>2.9021998168198E-3</v>
      </c>
      <c r="X8">
        <v>6.8562986209297003E-3</v>
      </c>
      <c r="Y8">
        <v>3.7268872432326999E-3</v>
      </c>
      <c r="Z8" s="1">
        <v>2.0033982707457001E-5</v>
      </c>
    </row>
    <row r="9" spans="1:26" x14ac:dyDescent="0.2">
      <c r="A9">
        <v>7689500</v>
      </c>
      <c r="B9">
        <f t="shared" si="0"/>
        <v>88.998842592592581</v>
      </c>
      <c r="C9" s="1">
        <v>7.8093017492229997E-7</v>
      </c>
      <c r="D9" s="1">
        <v>-2.6089692906072999E-11</v>
      </c>
      <c r="E9">
        <f t="shared" si="1"/>
        <v>-5.2268045652313003E-16</v>
      </c>
      <c r="F9" s="1">
        <v>-5.4924100822972998E-9</v>
      </c>
      <c r="G9">
        <f t="shared" si="2"/>
        <v>-1.1003484861100658E-13</v>
      </c>
      <c r="H9" s="1">
        <v>-1.4792022207805001E-11</v>
      </c>
      <c r="I9">
        <f t="shared" si="3"/>
        <v>-2.9634311711948533E-16</v>
      </c>
      <c r="J9">
        <v>1774500</v>
      </c>
      <c r="K9">
        <v>11.009335609923999</v>
      </c>
      <c r="L9" s="1">
        <v>1.1579416158411E-11</v>
      </c>
      <c r="M9">
        <v>9.8695939331872005E-3</v>
      </c>
      <c r="N9">
        <v>2.0309779913432E-3</v>
      </c>
      <c r="O9" s="1">
        <v>8.2981343300815005E-5</v>
      </c>
      <c r="P9" s="1">
        <v>-1.2220903749656E-11</v>
      </c>
      <c r="Q9">
        <v>0.17728344391573</v>
      </c>
      <c r="R9">
        <v>10.794879482104999</v>
      </c>
      <c r="S9">
        <v>1.3537961145883E-3</v>
      </c>
      <c r="T9">
        <v>6.6816185716975004E-3</v>
      </c>
      <c r="U9">
        <v>1.7466940484949E-4</v>
      </c>
      <c r="V9">
        <v>3.4936608663904E-3</v>
      </c>
      <c r="W9">
        <v>2.9021998168258E-3</v>
      </c>
      <c r="X9">
        <v>6.8562986206402998E-3</v>
      </c>
      <c r="Y9">
        <v>3.7268872414604002E-3</v>
      </c>
      <c r="Z9" s="1">
        <v>2.0033982707457001E-5</v>
      </c>
    </row>
    <row r="10" spans="1:26" x14ac:dyDescent="0.2">
      <c r="A10">
        <v>9996350</v>
      </c>
      <c r="B10">
        <f t="shared" si="0"/>
        <v>115.69849537037037</v>
      </c>
      <c r="C10" s="1">
        <v>7.8093017492229997E-7</v>
      </c>
      <c r="D10" s="1">
        <v>-3.0911643036924003E-11</v>
      </c>
      <c r="E10">
        <f t="shared" si="1"/>
        <v>-6.1928332206081912E-16</v>
      </c>
      <c r="F10" s="1">
        <v>-5.9244911199130001E-9</v>
      </c>
      <c r="G10">
        <f t="shared" si="2"/>
        <v>-1.1869115264681961E-13</v>
      </c>
      <c r="H10" s="1">
        <v>-2.0056269579155002E-11</v>
      </c>
      <c r="I10">
        <f t="shared" si="3"/>
        <v>-4.0180695792488721E-16</v>
      </c>
      <c r="J10">
        <v>2306850</v>
      </c>
      <c r="K10">
        <v>11.009335603787999</v>
      </c>
      <c r="L10" s="1">
        <v>1.1577550610763E-11</v>
      </c>
      <c r="M10">
        <v>9.8695939022755991E-3</v>
      </c>
      <c r="N10">
        <v>2.0309779912395E-3</v>
      </c>
      <c r="O10" s="1">
        <v>8.2981343296111994E-5</v>
      </c>
      <c r="P10" s="1">
        <v>-1.6388467002293999E-11</v>
      </c>
      <c r="Q10">
        <v>0.17728344382521</v>
      </c>
      <c r="R10">
        <v>10.79487947618</v>
      </c>
      <c r="S10">
        <v>1.3537961060710001E-3</v>
      </c>
      <c r="T10">
        <v>6.6816185167673002E-3</v>
      </c>
      <c r="U10">
        <v>1.7466940483959001E-4</v>
      </c>
      <c r="V10">
        <v>3.4936608463341E-3</v>
      </c>
      <c r="W10">
        <v>2.9021998168321001E-3</v>
      </c>
      <c r="X10">
        <v>6.8562986203314002E-3</v>
      </c>
      <c r="Y10">
        <v>3.7268872395761002E-3</v>
      </c>
      <c r="Z10" s="1">
        <v>2.0033982707457001E-5</v>
      </c>
    </row>
    <row r="11" spans="1:26" x14ac:dyDescent="0.2">
      <c r="A11">
        <v>12995255</v>
      </c>
      <c r="B11">
        <f t="shared" si="0"/>
        <v>150.40804398148148</v>
      </c>
      <c r="C11" s="1">
        <v>7.8093017492231002E-7</v>
      </c>
      <c r="D11" s="1">
        <v>-8.9080005524766005E-11</v>
      </c>
      <c r="E11">
        <f t="shared" si="1"/>
        <v>-1.784627290263336E-15</v>
      </c>
      <c r="F11" s="1">
        <v>-1.4681232229918E-8</v>
      </c>
      <c r="G11">
        <f t="shared" si="2"/>
        <v>-2.9412355261833758E-13</v>
      </c>
      <c r="H11" s="1">
        <v>-6.2006593002511998E-11</v>
      </c>
      <c r="I11">
        <f t="shared" si="3"/>
        <v>-1.2422390119606497E-15</v>
      </c>
      <c r="J11">
        <v>2998905</v>
      </c>
      <c r="K11">
        <v>11.009335588529</v>
      </c>
      <c r="L11" s="1">
        <v>1.1574607301999E-11</v>
      </c>
      <c r="M11">
        <v>9.8695938131956006E-3</v>
      </c>
      <c r="N11">
        <v>2.0309779909870999E-3</v>
      </c>
      <c r="O11" s="1">
        <v>8.2981343284666004E-5</v>
      </c>
      <c r="P11" s="1">
        <v>-2.1170535284581E-11</v>
      </c>
      <c r="Q11">
        <v>0.17728344360483</v>
      </c>
      <c r="R11">
        <v>10.794879461499001</v>
      </c>
      <c r="S11">
        <v>1.3537960797321E-3</v>
      </c>
      <c r="T11">
        <v>6.6816183467943002E-3</v>
      </c>
      <c r="U11">
        <v>1.7466940481549999E-4</v>
      </c>
      <c r="V11">
        <v>3.4936607843275001E-3</v>
      </c>
      <c r="W11">
        <v>2.9021998168475001E-3</v>
      </c>
      <c r="X11">
        <v>6.8562986195798E-3</v>
      </c>
      <c r="Y11">
        <v>3.7268872349992999E-3</v>
      </c>
      <c r="Z11" s="1">
        <v>2.0033982707457001E-5</v>
      </c>
    </row>
    <row r="12" spans="1:26" x14ac:dyDescent="0.2">
      <c r="A12">
        <v>16893831.5</v>
      </c>
      <c r="B12">
        <f t="shared" si="0"/>
        <v>195.53045717592593</v>
      </c>
      <c r="C12" s="1">
        <v>7.8093017492231998E-7</v>
      </c>
      <c r="D12" s="1">
        <v>-1.6331808648518E-10</v>
      </c>
      <c r="E12">
        <f t="shared" si="1"/>
        <v>-3.271911720459063E-15</v>
      </c>
      <c r="F12" s="1">
        <v>-2.240613028448E-8</v>
      </c>
      <c r="G12">
        <f t="shared" si="2"/>
        <v>-4.4888402666030093E-13</v>
      </c>
      <c r="H12" s="1">
        <v>-1.1731149125033E-10</v>
      </c>
      <c r="I12">
        <f t="shared" si="3"/>
        <v>-2.3502163870951045E-15</v>
      </c>
      <c r="J12">
        <v>3898576.5</v>
      </c>
      <c r="K12">
        <v>11.00933556513</v>
      </c>
      <c r="L12" s="1">
        <v>1.1571858330037999E-11</v>
      </c>
      <c r="M12">
        <v>9.8695936498775002E-3</v>
      </c>
      <c r="N12">
        <v>2.0309779906105001E-3</v>
      </c>
      <c r="O12" s="1">
        <v>8.2981343267588003E-5</v>
      </c>
      <c r="P12" s="1">
        <v>-2.4342047615842001E-11</v>
      </c>
      <c r="Q12">
        <v>0.17728344327612999</v>
      </c>
      <c r="R12">
        <v>10.794879439093</v>
      </c>
      <c r="S12">
        <v>1.3537960298912999E-3</v>
      </c>
      <c r="T12">
        <v>6.6816180249982E-3</v>
      </c>
      <c r="U12">
        <v>1.7466940477955001E-4</v>
      </c>
      <c r="V12">
        <v>3.4936606670160002E-3</v>
      </c>
      <c r="W12">
        <v>2.9021998168706001E-3</v>
      </c>
      <c r="X12">
        <v>6.8562986184584002E-3</v>
      </c>
      <c r="Y12">
        <v>3.7268872281942E-3</v>
      </c>
      <c r="Z12" s="1">
        <v>2.0033982707457001E-5</v>
      </c>
    </row>
    <row r="13" spans="1:26" x14ac:dyDescent="0.2">
      <c r="A13">
        <v>21961980.949999999</v>
      </c>
      <c r="B13">
        <f t="shared" si="0"/>
        <v>254.18959432870369</v>
      </c>
      <c r="C13" s="1">
        <v>7.8093017492231998E-7</v>
      </c>
      <c r="D13" s="1">
        <v>-3.192163321869E-10</v>
      </c>
      <c r="E13">
        <f t="shared" si="1"/>
        <v>-6.3951744789702037E-15</v>
      </c>
      <c r="F13" s="1">
        <v>-3.6078516174598001E-8</v>
      </c>
      <c r="G13">
        <f t="shared" si="2"/>
        <v>-7.2279636915260405E-13</v>
      </c>
      <c r="H13" s="1">
        <v>-2.3252327407269E-10</v>
      </c>
      <c r="I13">
        <f t="shared" si="3"/>
        <v>-4.6583672518535562E-15</v>
      </c>
      <c r="J13">
        <v>5068149.45</v>
      </c>
      <c r="K13">
        <v>11.009335527234001</v>
      </c>
      <c r="L13" s="1">
        <v>1.1569164513919E-11</v>
      </c>
      <c r="M13">
        <v>9.8695933306611992E-3</v>
      </c>
      <c r="N13">
        <v>2.0309779900213E-3</v>
      </c>
      <c r="O13" s="1">
        <v>8.2981343240864995E-5</v>
      </c>
      <c r="P13" s="1">
        <v>-2.6525186872997999E-11</v>
      </c>
      <c r="Q13">
        <v>0.17728344276192001</v>
      </c>
      <c r="R13">
        <v>10.794879403014001</v>
      </c>
      <c r="S13">
        <v>1.3537959310865001E-3</v>
      </c>
      <c r="T13">
        <v>6.6816173868219997E-3</v>
      </c>
      <c r="U13">
        <v>1.746694047233E-4</v>
      </c>
      <c r="V13">
        <v>3.4936604344927001E-3</v>
      </c>
      <c r="W13">
        <v>2.9021998169067999E-3</v>
      </c>
      <c r="X13">
        <v>6.8562986167035999E-3</v>
      </c>
      <c r="Y13">
        <v>3.7268872175897001E-3</v>
      </c>
      <c r="Z13" s="1">
        <v>2.0033982707457001E-5</v>
      </c>
    </row>
    <row r="14" spans="1:26" x14ac:dyDescent="0.2">
      <c r="A14">
        <v>28550575.234999999</v>
      </c>
      <c r="B14">
        <f t="shared" si="0"/>
        <v>330.44647262731485</v>
      </c>
      <c r="C14" s="1">
        <v>7.8093017492231998E-7</v>
      </c>
      <c r="D14" s="1">
        <v>-6.7299736790372004E-10</v>
      </c>
      <c r="E14">
        <f t="shared" si="1"/>
        <v>-1.3482817630747205E-14</v>
      </c>
      <c r="F14" s="1">
        <v>-6.2700850733677001E-8</v>
      </c>
      <c r="G14">
        <f t="shared" si="2"/>
        <v>-1.2561477593413276E-12</v>
      </c>
      <c r="H14" s="1">
        <v>-4.9368522854823002E-10</v>
      </c>
      <c r="I14">
        <f t="shared" si="3"/>
        <v>-9.8904813316621973E-15</v>
      </c>
      <c r="J14">
        <v>6588594.2850000001</v>
      </c>
      <c r="K14">
        <v>11.009335460915</v>
      </c>
      <c r="L14" s="1">
        <v>1.1566268474236001E-11</v>
      </c>
      <c r="M14">
        <v>9.8695926576638001E-3</v>
      </c>
      <c r="N14">
        <v>2.0309779890327001E-3</v>
      </c>
      <c r="O14" s="1">
        <v>8.2981343196030999E-5</v>
      </c>
      <c r="P14" s="1">
        <v>-2.8152056734112999E-11</v>
      </c>
      <c r="Q14">
        <v>0.17728344189949999</v>
      </c>
      <c r="R14">
        <v>10.794879340314001</v>
      </c>
      <c r="S14">
        <v>1.3537957212822001E-3</v>
      </c>
      <c r="T14">
        <v>6.6816160312946002E-3</v>
      </c>
      <c r="U14">
        <v>1.7466940462892999E-4</v>
      </c>
      <c r="V14">
        <v>3.4936599408075001E-3</v>
      </c>
      <c r="W14">
        <v>2.9021998169675E-3</v>
      </c>
      <c r="X14">
        <v>6.8562986137595998E-3</v>
      </c>
      <c r="Y14">
        <v>3.7268871998885002E-3</v>
      </c>
      <c r="Z14" s="1">
        <v>2.0033982707457001E-5</v>
      </c>
    </row>
    <row r="15" spans="1:26" x14ac:dyDescent="0.2">
      <c r="A15">
        <v>31536000</v>
      </c>
      <c r="B15">
        <f t="shared" si="0"/>
        <v>365</v>
      </c>
      <c r="C15" s="1">
        <v>7.8093017492231002E-7</v>
      </c>
      <c r="D15" s="1">
        <v>-4.2151661328037999E-10</v>
      </c>
      <c r="E15">
        <f t="shared" si="1"/>
        <v>-8.4446565413649732E-15</v>
      </c>
      <c r="F15" s="1">
        <v>-3.8484598618992998E-8</v>
      </c>
      <c r="G15">
        <f t="shared" si="2"/>
        <v>-7.7099978323632926E-13</v>
      </c>
      <c r="H15" s="1">
        <v>-3.6968209873520001E-10</v>
      </c>
      <c r="I15">
        <f t="shared" si="3"/>
        <v>-7.4062047733174081E-15</v>
      </c>
      <c r="J15">
        <v>2985424.7650000001</v>
      </c>
      <c r="K15">
        <v>11.009335419943</v>
      </c>
      <c r="L15" s="1">
        <v>1.1565075421710001E-11</v>
      </c>
      <c r="M15">
        <v>9.8695922361472007E-3</v>
      </c>
      <c r="N15">
        <v>2.0309779884474998E-3</v>
      </c>
      <c r="O15" s="1">
        <v>8.2981343169493999E-5</v>
      </c>
      <c r="P15" s="1">
        <v>-2.8705843831252999E-11</v>
      </c>
      <c r="Q15">
        <v>0.17728344138943</v>
      </c>
      <c r="R15">
        <v>10.794879301829001</v>
      </c>
      <c r="S15">
        <v>1.3537955641612E-3</v>
      </c>
      <c r="T15">
        <v>6.6816150159071004E-3</v>
      </c>
      <c r="U15">
        <v>1.7466940457307E-4</v>
      </c>
      <c r="V15">
        <v>3.4936595711254001E-3</v>
      </c>
      <c r="W15">
        <v>2.9021998170034998E-3</v>
      </c>
      <c r="X15">
        <v>6.8562986120169001E-3</v>
      </c>
      <c r="Y15">
        <v>3.7268871894713001E-3</v>
      </c>
      <c r="Z15" s="1">
        <v>2.0033982707457001E-5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"/>
  <sheetViews>
    <sheetView topLeftCell="A20" workbookViewId="0">
      <selection activeCell="F3" sqref="F3"/>
    </sheetView>
  </sheetViews>
  <sheetFormatPr baseColWidth="10" defaultRowHeight="16" x14ac:dyDescent="0.2"/>
  <cols>
    <col min="1" max="1" width="13" customWidth="1"/>
  </cols>
  <sheetData>
    <row r="1" spans="1:6" x14ac:dyDescent="0.2">
      <c r="B1" t="s">
        <v>24</v>
      </c>
      <c r="C1" t="s">
        <v>26</v>
      </c>
      <c r="F1" t="s">
        <v>27</v>
      </c>
    </row>
    <row r="2" spans="1:6" x14ac:dyDescent="0.2">
      <c r="A2" t="s">
        <v>23</v>
      </c>
      <c r="B2">
        <v>1010</v>
      </c>
      <c r="E2" t="s">
        <v>28</v>
      </c>
      <c r="F2" s="1">
        <v>5066000</v>
      </c>
    </row>
    <row r="3" spans="1:6" x14ac:dyDescent="0.2">
      <c r="A3" t="s">
        <v>25</v>
      </c>
      <c r="B3">
        <f>B2*0.02</f>
        <v>20.2</v>
      </c>
      <c r="C3">
        <f>B3/44</f>
        <v>0.45909090909090905</v>
      </c>
      <c r="E3" t="s">
        <v>29</v>
      </c>
      <c r="F3" s="1">
        <f>F2-1379000</f>
        <v>3687000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porous_flow_outlet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Mengnan Li</cp:lastModifiedBy>
  <dcterms:created xsi:type="dcterms:W3CDTF">2023-10-18T17:11:58Z</dcterms:created>
  <dcterms:modified xsi:type="dcterms:W3CDTF">2023-10-18T20:44:49Z</dcterms:modified>
</cp:coreProperties>
</file>